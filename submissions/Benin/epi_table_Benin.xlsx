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MAP\Epi_Profils\Benin\Benin\"/>
    </mc:Choice>
  </mc:AlternateContent>
  <xr:revisionPtr revIDLastSave="0" documentId="13_ncr:1_{9CD94033-3397-41AC-8A33-E802D4F2536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RT HERE" sheetId="1" r:id="rId1"/>
    <sheet name="Data" sheetId="2" r:id="rId2"/>
    <sheet name="Sheet2" sheetId="3" r:id="rId3"/>
  </sheets>
  <definedNames>
    <definedName name="_xlnm._FilterDatabase" localSheetId="1" hidden="1">Data!$A$1:$J$40</definedName>
    <definedName name="KCI">Sheet2!$A$2:$A$8</definedName>
    <definedName name="Trends">Sheet2!$D$2:$D$20</definedName>
    <definedName name="Types_of_Malaria_Data">Sheet2!$C$2:$C$20</definedName>
    <definedName name="Vectors">Sheet2!$B$2:$B$7</definedName>
  </definedNames>
  <calcPr calcId="0"/>
</workbook>
</file>

<file path=xl/sharedStrings.xml><?xml version="1.0" encoding="utf-8"?>
<sst xmlns="http://schemas.openxmlformats.org/spreadsheetml/2006/main" count="149" uniqueCount="92">
  <si>
    <t>Country Epi Table — Fill-In Instructions</t>
  </si>
  <si>
    <t>This workbook has ONE tab you edit: 'Data'.</t>
  </si>
  <si>
    <t>Do not rename columns, add new columns, or reorder rows with existing data.</t>
  </si>
  <si>
    <t>Column guide:</t>
  </si>
  <si>
    <t xml:space="preserve">  Types       — one of: KCI, Vectors, Trends (pick from dropdown)</t>
  </si>
  <si>
    <t xml:space="preserve">  Country     — your country's full name, spelled consistently every row</t>
  </si>
  <si>
    <t xml:space="preserve">  Metric      — the indicator name, e.g. 'Prevalence (U5)', 'Incidence per 1000'</t>
  </si>
  <si>
    <t xml:space="preserve">  Year        — required for Types = Trends; optional otherwise</t>
  </si>
  <si>
    <t xml:space="preserve">  Value       — the number only, no % sign or commas</t>
  </si>
  <si>
    <t xml:space="preserve">  Unit        — pick from dropdown (%, per 1000, per 100000, count, currency, other)</t>
  </si>
  <si>
    <t xml:space="preserve">  Source      — where this number came from, e.g. 'DHS 2013-14', 'World Bank', 'NSP 2024-2028'</t>
  </si>
  <si>
    <t xml:space="preserve">  Source_Year — year the SOURCE was published (not the survey year, if different)</t>
  </si>
  <si>
    <t xml:space="preserve">  Notes       — anything ambiguous: is this % or decimal? per 1000 or per 100,000? etc.</t>
  </si>
  <si>
    <t>Row 2 of the Data tab is a worked EXAMPLE (highlighted yellow).</t>
  </si>
  <si>
    <t>Delete that row before you submit — it is there to show the expected format only.</t>
  </si>
  <si>
    <t>A note on sources:</t>
  </si>
  <si>
    <t xml:space="preserve">  If a number is available via DHS StatCompiler, please EXPORT it from StatCompiler</t>
  </si>
  <si>
    <t xml:space="preserve">  and include that export as its own file in this folder, rather than retyping the</t>
  </si>
  <si>
    <t xml:space="preserve">  number here. Use this sheet for numbers StatCompiler does not cover (World Bank</t>
  </si>
  <si>
    <t xml:space="preserve">  indicators, national strategic plan targets, figures from other reports).</t>
  </si>
  <si>
    <t>Questions? Contact the DET team before submitting rather than guessing on a value.</t>
  </si>
  <si>
    <t>Types</t>
  </si>
  <si>
    <t>Country</t>
  </si>
  <si>
    <t>Metric</t>
  </si>
  <si>
    <t>Year</t>
  </si>
  <si>
    <t>Value</t>
  </si>
  <si>
    <t>Unit</t>
  </si>
  <si>
    <t>Source</t>
  </si>
  <si>
    <t>Link</t>
  </si>
  <si>
    <t>Source_Year</t>
  </si>
  <si>
    <t>Notes</t>
  </si>
  <si>
    <t>KCI</t>
  </si>
  <si>
    <t>Benin</t>
  </si>
  <si>
    <t>Population</t>
  </si>
  <si>
    <t>2022-2024</t>
  </si>
  <si>
    <t>count</t>
  </si>
  <si>
    <t>WHO World Malaria Report 2024; World Bank</t>
  </si>
  <si>
    <t>14.1 million is the WHO malaria denominator; 14,462,724 is the World Bank population estimate.</t>
  </si>
  <si>
    <t>Population at risk</t>
  </si>
  <si>
    <t>%</t>
  </si>
  <si>
    <t>WHO World Malaria Report 2024</t>
  </si>
  <si>
    <t>14.1 million; 100% classified as high transmission.</t>
  </si>
  <si>
    <t>Prevalence (6-59 months, RDT)</t>
  </si>
  <si>
    <t>MIS 2022, cited in PMI Benin Malaria Profile</t>
  </si>
  <si>
    <t>Incidence (/1000 people)</t>
  </si>
  <si>
    <t>per 1000</t>
  </si>
  <si>
    <t>WHO-estimated incidence; approximately 5.1 million cases.</t>
  </si>
  <si>
    <t>PMI Benin Malaria Profile</t>
  </si>
  <si>
    <t>Routine/reported incidence per 1,000 population at risk.</t>
  </si>
  <si>
    <t>Mortality</t>
  </si>
  <si>
    <t>WHO-estimated malaria deaths; approximately 70 per 100,000 population.</t>
  </si>
  <si>
    <t>Confirmed deaths reported routinely.</t>
  </si>
  <si>
    <t>Vectors</t>
  </si>
  <si>
    <t>Djègbè et al., 2011</t>
  </si>
  <si>
    <t>Widespread resistance confirmed at sentinel sites nationwide (Cotonou, Malanville, Bohicon, Tori-Bossito).</t>
  </si>
  <si>
    <t>Salako et al., 2018</t>
  </si>
  <si>
    <t>First evidence in West Africa; also first detection in An. arabiensis nationally.</t>
  </si>
  <si>
    <t>2011-2018</t>
  </si>
  <si>
    <t>Djègbè et al., 2011; Salako et al., 2018</t>
  </si>
  <si>
    <t>Zenodo/Akogbeto group</t>
  </si>
  <si>
    <t>Frequency higher in high-pesticide-use areas (0.90) than low-use areas (0.85). Year not provided in the source table.</t>
  </si>
  <si>
    <t>Fully susceptible at all sites tested.</t>
  </si>
  <si>
    <t>Types of Malaria Data</t>
  </si>
  <si>
    <t>Trends</t>
  </si>
  <si>
    <t xml:space="preserve">Population </t>
  </si>
  <si>
    <t>Mosquito species</t>
  </si>
  <si>
    <t>Urbanization</t>
  </si>
  <si>
    <t>Parasite</t>
  </si>
  <si>
    <t>Median Age</t>
  </si>
  <si>
    <t>Peak transmission season</t>
  </si>
  <si>
    <t>Prevalence rate (Pfpr6-59)</t>
  </si>
  <si>
    <t>Drivers</t>
  </si>
  <si>
    <t xml:space="preserve">Extreme weather events </t>
  </si>
  <si>
    <t>Weather type</t>
  </si>
  <si>
    <t>An. gambiae s.l. - ace-1 G119S</t>
  </si>
  <si>
    <t>An. gambiae s.l. - Organophosphate (pirimiphos-methyl)</t>
  </si>
  <si>
    <t>An. gambiae s.l. - Pyrethroids/DDT</t>
  </si>
  <si>
    <t>An. gambiae s.l. (northern Benin) - Pyrethroids</t>
  </si>
  <si>
    <t>An. gambiae s.s. / An. coluzzii - kdr L1014F</t>
  </si>
  <si>
    <t>An. gambiae / An. arabiensis - kdr L1014S</t>
  </si>
  <si>
    <t>An. gambiae s.l. (agricultural vs. non-agricultural areas) - kdr L1014F</t>
  </si>
  <si>
    <t>An. gambiae s.l. (Kandi vs. 5 other sites) - Carbamate (bendiocarb)</t>
  </si>
  <si>
    <t>An. gambiae s.l. (northern Benin) - PBO-synergized pyrethroids</t>
  </si>
  <si>
    <t>proportion</t>
  </si>
  <si>
    <t>Rare; frequency 0-0.06, described as almost absent.</t>
  </si>
  <si>
    <t>RDT prevalence among children aged 6-59 months.</t>
  </si>
  <si>
    <t>Mortality only 25-83% for deltamethrin and 6-55% for permethrin across 6 districts.</t>
  </si>
  <si>
    <t>Mean frequency 0.77 (range 0.67-0.88); consistently higher in An. gambiae s.s. than An. coluzzii. Frequency is a proportion, not a percentage.</t>
  </si>
  <si>
    <t>Susceptibility significantly restored: deltamethrin mortality rose to 63-99%, permethrin to 56-99%.</t>
  </si>
  <si>
    <t>Fully susceptible at Kandi (99%); possible resistance at 5 other sites (92-95%).</t>
  </si>
  <si>
    <t xml:space="preserve">doi.org/10.1186/s12936-018-2507-y </t>
  </si>
  <si>
    <t>https://link.springer.com/article/10.1186/1475-2875-10-261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</si>
</sst>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rgb="FFFFFFFF"/>
      <name val="Arial"/>
      <family val="2"/>
    </font>
    <font>
      <b/>
      <sz val="11"/>
      <color theme="1"/>
      <name val="Calibri"/>
      <family val="2"/>
      <scheme val="minor"/>
    </font>
    <font>
      <sz val="12"/>
      <color theme="1"/>
      <name val="Arial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1F1F"/>
        <bgColor rgb="FF1F1F1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horizontal="center"/>
    </xf>
    <xf numFmtId="0" fontId="5" fillId="0" borderId="0" xfId="0" applyFont="1" applyAlignment="1">
      <alignment vertical="center" wrapText="1"/>
    </xf>
    <xf numFmtId="2" fontId="6" fillId="0" borderId="0" xfId="0" applyNumberFormat="1" applyFont="1"/>
    <xf numFmtId="164" fontId="6" fillId="0" borderId="0" xfId="0" applyNumberFormat="1" applyFont="1"/>
    <xf numFmtId="0" fontId="7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ink.springer.com/article/10.1186/1475-2875-10-261" TargetMode="External"/><Relationship Id="rId2" Type="http://schemas.openxmlformats.org/officeDocument/2006/relationships/hyperlink" Target="https://link.springer.com/article/10.1186/1475-2875-10-261" TargetMode="External"/><Relationship Id="rId1" Type="http://schemas.openxmlformats.org/officeDocument/2006/relationships/hyperlink" Target="https://link.springer.com/article/10.1186/1475-2875-10-26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6"/>
  <sheetViews>
    <sheetView showGridLines="0" tabSelected="1" workbookViewId="0">
      <selection activeCell="B3" sqref="B3"/>
    </sheetView>
  </sheetViews>
  <sheetFormatPr defaultRowHeight="14.5" x14ac:dyDescent="0.35"/>
  <cols>
    <col min="1" max="1" width="95" customWidth="1"/>
  </cols>
  <sheetData>
    <row r="1" spans="1:1" ht="18" customHeight="1" x14ac:dyDescent="0.35">
      <c r="A1" s="1" t="s">
        <v>0</v>
      </c>
    </row>
    <row r="2" spans="1:1" x14ac:dyDescent="0.35">
      <c r="A2" s="2"/>
    </row>
    <row r="3" spans="1:1" x14ac:dyDescent="0.35">
      <c r="A3" s="2" t="s">
        <v>1</v>
      </c>
    </row>
    <row r="4" spans="1:1" x14ac:dyDescent="0.35">
      <c r="A4" s="2" t="s">
        <v>2</v>
      </c>
    </row>
    <row r="5" spans="1:1" x14ac:dyDescent="0.35">
      <c r="A5" s="2"/>
    </row>
    <row r="6" spans="1:1" x14ac:dyDescent="0.35">
      <c r="A6" s="3" t="s">
        <v>3</v>
      </c>
    </row>
    <row r="7" spans="1:1" x14ac:dyDescent="0.35">
      <c r="A7" s="2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/>
    </row>
    <row r="17" spans="1:1" x14ac:dyDescent="0.35">
      <c r="A17" s="3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3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  <row r="23" spans="1:1" x14ac:dyDescent="0.35">
      <c r="A23" s="2" t="s">
        <v>18</v>
      </c>
    </row>
    <row r="24" spans="1:1" x14ac:dyDescent="0.35">
      <c r="A24" s="2" t="s">
        <v>19</v>
      </c>
    </row>
    <row r="25" spans="1:1" x14ac:dyDescent="0.35">
      <c r="A25" s="2"/>
    </row>
    <row r="26" spans="1:1" x14ac:dyDescent="0.35">
      <c r="A26" s="2" t="s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zoomScale="70" zoomScaleNormal="70" workbookViewId="0">
      <pane ySplit="1" topLeftCell="A2" activePane="bottomLeft" state="frozen"/>
      <selection pane="bottomLeft" activeCell="A6" sqref="A6"/>
    </sheetView>
  </sheetViews>
  <sheetFormatPr defaultRowHeight="14.5" x14ac:dyDescent="0.35"/>
  <cols>
    <col min="1" max="1" width="12" customWidth="1"/>
    <col min="2" max="2" width="18" customWidth="1"/>
    <col min="3" max="3" width="60.36328125" bestFit="1" customWidth="1"/>
    <col min="4" max="4" width="14" customWidth="1"/>
    <col min="5" max="5" width="18" customWidth="1"/>
    <col min="6" max="6" width="14" customWidth="1"/>
    <col min="7" max="7" width="42" customWidth="1"/>
    <col min="8" max="8" width="35" customWidth="1"/>
    <col min="9" max="9" width="14" customWidth="1"/>
    <col min="10" max="10" width="120.26953125" bestFit="1" customWidth="1"/>
  </cols>
  <sheetData>
    <row r="1" spans="1:10" x14ac:dyDescent="0.35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</row>
    <row r="2" spans="1:10" x14ac:dyDescent="0.35">
      <c r="A2" t="s">
        <v>31</v>
      </c>
      <c r="B2" t="s">
        <v>32</v>
      </c>
      <c r="C2" t="s">
        <v>33</v>
      </c>
      <c r="D2" t="s">
        <v>34</v>
      </c>
      <c r="E2">
        <v>14462724</v>
      </c>
      <c r="F2" t="s">
        <v>35</v>
      </c>
      <c r="G2" t="s">
        <v>36</v>
      </c>
      <c r="I2">
        <v>2024</v>
      </c>
      <c r="J2" t="s">
        <v>37</v>
      </c>
    </row>
    <row r="3" spans="1:10" x14ac:dyDescent="0.35">
      <c r="A3" t="s">
        <v>31</v>
      </c>
      <c r="B3" t="s">
        <v>32</v>
      </c>
      <c r="C3" t="s">
        <v>38</v>
      </c>
      <c r="D3">
        <v>2023</v>
      </c>
      <c r="E3">
        <v>100</v>
      </c>
      <c r="F3" t="s">
        <v>39</v>
      </c>
      <c r="G3" t="s">
        <v>40</v>
      </c>
      <c r="I3">
        <v>2024</v>
      </c>
      <c r="J3" t="s">
        <v>41</v>
      </c>
    </row>
    <row r="4" spans="1:10" x14ac:dyDescent="0.35">
      <c r="A4" t="s">
        <v>31</v>
      </c>
      <c r="B4" t="s">
        <v>32</v>
      </c>
      <c r="C4" t="s">
        <v>42</v>
      </c>
      <c r="D4">
        <v>2022</v>
      </c>
      <c r="E4">
        <v>32.299999999999997</v>
      </c>
      <c r="F4" t="s">
        <v>39</v>
      </c>
      <c r="G4" t="s">
        <v>43</v>
      </c>
      <c r="I4">
        <v>2022</v>
      </c>
      <c r="J4" t="s">
        <v>85</v>
      </c>
    </row>
    <row r="5" spans="1:10" x14ac:dyDescent="0.35">
      <c r="A5" t="s">
        <v>31</v>
      </c>
      <c r="B5" t="s">
        <v>32</v>
      </c>
      <c r="C5" t="s">
        <v>44</v>
      </c>
      <c r="D5">
        <v>2023</v>
      </c>
      <c r="E5">
        <v>362</v>
      </c>
      <c r="F5" t="s">
        <v>45</v>
      </c>
      <c r="G5" t="s">
        <v>40</v>
      </c>
      <c r="I5">
        <v>2024</v>
      </c>
      <c r="J5" t="s">
        <v>46</v>
      </c>
    </row>
    <row r="6" spans="1:10" x14ac:dyDescent="0.35">
      <c r="A6" t="s">
        <v>31</v>
      </c>
      <c r="B6" t="s">
        <v>32</v>
      </c>
      <c r="C6" t="s">
        <v>44</v>
      </c>
      <c r="D6">
        <v>2021</v>
      </c>
      <c r="E6">
        <v>212</v>
      </c>
      <c r="F6" t="s">
        <v>45</v>
      </c>
      <c r="G6" t="s">
        <v>47</v>
      </c>
      <c r="J6" t="s">
        <v>48</v>
      </c>
    </row>
    <row r="7" spans="1:10" x14ac:dyDescent="0.35">
      <c r="A7" t="s">
        <v>31</v>
      </c>
      <c r="B7" t="s">
        <v>32</v>
      </c>
      <c r="C7" t="s">
        <v>49</v>
      </c>
      <c r="D7">
        <v>2023</v>
      </c>
      <c r="E7">
        <v>9900</v>
      </c>
      <c r="F7" t="s">
        <v>35</v>
      </c>
      <c r="G7" t="s">
        <v>40</v>
      </c>
      <c r="I7">
        <v>2024</v>
      </c>
      <c r="J7" t="s">
        <v>50</v>
      </c>
    </row>
    <row r="8" spans="1:10" x14ac:dyDescent="0.35">
      <c r="A8" t="s">
        <v>31</v>
      </c>
      <c r="B8" t="s">
        <v>32</v>
      </c>
      <c r="C8" t="s">
        <v>49</v>
      </c>
      <c r="D8">
        <v>2023</v>
      </c>
      <c r="E8">
        <v>2759</v>
      </c>
      <c r="F8" t="s">
        <v>35</v>
      </c>
      <c r="G8" t="s">
        <v>40</v>
      </c>
      <c r="I8">
        <v>2024</v>
      </c>
      <c r="J8" t="s">
        <v>51</v>
      </c>
    </row>
    <row r="9" spans="1:10" x14ac:dyDescent="0.35">
      <c r="A9" t="s">
        <v>52</v>
      </c>
      <c r="B9" t="s">
        <v>32</v>
      </c>
      <c r="C9" t="s">
        <v>76</v>
      </c>
      <c r="D9">
        <v>2011</v>
      </c>
      <c r="G9" t="s">
        <v>53</v>
      </c>
      <c r="H9" s="8" t="s">
        <v>91</v>
      </c>
      <c r="I9">
        <v>2011</v>
      </c>
      <c r="J9" t="s">
        <v>54</v>
      </c>
    </row>
    <row r="10" spans="1:10" x14ac:dyDescent="0.35">
      <c r="A10" t="s">
        <v>52</v>
      </c>
      <c r="B10" t="s">
        <v>32</v>
      </c>
      <c r="C10" t="s">
        <v>77</v>
      </c>
      <c r="D10">
        <v>2018</v>
      </c>
      <c r="G10" t="s">
        <v>55</v>
      </c>
      <c r="H10" t="s">
        <v>90</v>
      </c>
      <c r="I10">
        <v>2018</v>
      </c>
      <c r="J10" t="s">
        <v>86</v>
      </c>
    </row>
    <row r="11" spans="1:10" x14ac:dyDescent="0.35">
      <c r="A11" t="s">
        <v>52</v>
      </c>
      <c r="B11" t="s">
        <v>32</v>
      </c>
      <c r="C11" t="s">
        <v>78</v>
      </c>
      <c r="D11">
        <v>2018</v>
      </c>
      <c r="E11">
        <v>0.77</v>
      </c>
      <c r="F11" t="s">
        <v>83</v>
      </c>
      <c r="G11" t="s">
        <v>55</v>
      </c>
      <c r="H11" t="s">
        <v>90</v>
      </c>
      <c r="I11">
        <v>2018</v>
      </c>
      <c r="J11" t="s">
        <v>87</v>
      </c>
    </row>
    <row r="12" spans="1:10" x14ac:dyDescent="0.35">
      <c r="A12" t="s">
        <v>52</v>
      </c>
      <c r="B12" t="s">
        <v>32</v>
      </c>
      <c r="C12" t="s">
        <v>79</v>
      </c>
      <c r="D12">
        <v>2011</v>
      </c>
      <c r="G12" t="s">
        <v>53</v>
      </c>
      <c r="H12" s="8" t="s">
        <v>91</v>
      </c>
      <c r="I12">
        <v>2011</v>
      </c>
      <c r="J12" t="s">
        <v>56</v>
      </c>
    </row>
    <row r="13" spans="1:10" x14ac:dyDescent="0.35">
      <c r="A13" t="s">
        <v>52</v>
      </c>
      <c r="B13" t="s">
        <v>32</v>
      </c>
      <c r="C13" t="s">
        <v>74</v>
      </c>
      <c r="D13" t="s">
        <v>57</v>
      </c>
      <c r="E13">
        <v>0.06</v>
      </c>
      <c r="F13" t="s">
        <v>83</v>
      </c>
      <c r="G13" t="s">
        <v>58</v>
      </c>
      <c r="H13" s="8" t="s">
        <v>91</v>
      </c>
      <c r="I13">
        <v>2018</v>
      </c>
      <c r="J13" t="s">
        <v>84</v>
      </c>
    </row>
    <row r="14" spans="1:10" x14ac:dyDescent="0.35">
      <c r="A14" t="s">
        <v>52</v>
      </c>
      <c r="B14" t="s">
        <v>32</v>
      </c>
      <c r="C14" t="s">
        <v>80</v>
      </c>
      <c r="E14">
        <v>0.9</v>
      </c>
      <c r="F14" t="s">
        <v>83</v>
      </c>
      <c r="G14" t="s">
        <v>59</v>
      </c>
      <c r="J14" t="s">
        <v>60</v>
      </c>
    </row>
    <row r="15" spans="1:10" x14ac:dyDescent="0.35">
      <c r="A15" t="s">
        <v>52</v>
      </c>
      <c r="B15" t="s">
        <v>32</v>
      </c>
      <c r="C15" t="s">
        <v>82</v>
      </c>
      <c r="D15">
        <v>2018</v>
      </c>
      <c r="G15" t="s">
        <v>55</v>
      </c>
      <c r="H15" t="s">
        <v>90</v>
      </c>
      <c r="I15">
        <v>2018</v>
      </c>
      <c r="J15" t="s">
        <v>88</v>
      </c>
    </row>
    <row r="16" spans="1:10" x14ac:dyDescent="0.35">
      <c r="A16" t="s">
        <v>52</v>
      </c>
      <c r="B16" t="s">
        <v>32</v>
      </c>
      <c r="C16" t="s">
        <v>81</v>
      </c>
      <c r="D16">
        <v>2018</v>
      </c>
      <c r="G16" t="s">
        <v>55</v>
      </c>
      <c r="H16" t="s">
        <v>90</v>
      </c>
      <c r="I16">
        <v>2018</v>
      </c>
      <c r="J16" t="s">
        <v>89</v>
      </c>
    </row>
    <row r="17" spans="1:10" x14ac:dyDescent="0.35">
      <c r="A17" t="s">
        <v>52</v>
      </c>
      <c r="B17" t="s">
        <v>32</v>
      </c>
      <c r="C17" t="s">
        <v>75</v>
      </c>
      <c r="D17">
        <v>2018</v>
      </c>
      <c r="E17">
        <v>100</v>
      </c>
      <c r="F17" t="s">
        <v>39</v>
      </c>
      <c r="G17" t="s">
        <v>55</v>
      </c>
      <c r="H17" t="s">
        <v>90</v>
      </c>
      <c r="I17">
        <v>2018</v>
      </c>
      <c r="J17" t="s">
        <v>61</v>
      </c>
    </row>
  </sheetData>
  <autoFilter ref="A1:J40" xr:uid="{00000000-0009-0000-0000-000001000000}"/>
  <dataValidations count="3">
    <dataValidation type="list" allowBlank="1" sqref="A2:A200" xr:uid="{00000000-0002-0000-0100-000000000000}">
      <formula1>"KCI,Vectors,Types of Malaria Data,Trends"</formula1>
    </dataValidation>
    <dataValidation type="list" allowBlank="1" sqref="C2:C200" xr:uid="{00000000-0002-0000-0100-000001000000}">
      <formula1>INDIRECT(SUBSTITUTE($A2," ","_"))</formula1>
    </dataValidation>
    <dataValidation type="list" allowBlank="1" prompt="Select a unit" sqref="F2:F200" xr:uid="{00000000-0002-0000-0100-000002000000}">
      <formula1>"%,per 1000,per 100000,count,currency,other"</formula1>
    </dataValidation>
  </dataValidations>
  <hyperlinks>
    <hyperlink ref="H13" r:id="rId1" xr:uid="{935C3DB7-3741-4145-B837-80D9A2503835}"/>
    <hyperlink ref="H9" r:id="rId2" xr:uid="{307CEC86-3FDA-4B53-B915-3DB58B4DBD3E}"/>
    <hyperlink ref="H12" r:id="rId3" xr:uid="{EA49934A-A2C4-428A-BE97-CE5BBAA78172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"/>
  <sheetViews>
    <sheetView workbookViewId="0">
      <selection activeCell="B15" sqref="B15"/>
    </sheetView>
  </sheetViews>
  <sheetFormatPr defaultRowHeight="14.5" x14ac:dyDescent="0.35"/>
  <cols>
    <col min="1" max="1" width="36.26953125" customWidth="1"/>
    <col min="2" max="2" width="35.36328125" customWidth="1"/>
    <col min="3" max="3" width="19.1796875" bestFit="1" customWidth="1"/>
  </cols>
  <sheetData>
    <row r="1" spans="1:4" x14ac:dyDescent="0.35">
      <c r="A1" s="5" t="s">
        <v>31</v>
      </c>
      <c r="B1" s="5" t="s">
        <v>52</v>
      </c>
      <c r="C1" t="s">
        <v>62</v>
      </c>
      <c r="D1" t="s">
        <v>63</v>
      </c>
    </row>
    <row r="2" spans="1:4" ht="15.5" customHeight="1" x14ac:dyDescent="0.35">
      <c r="A2" s="7" t="s">
        <v>64</v>
      </c>
      <c r="B2" s="7" t="s">
        <v>65</v>
      </c>
    </row>
    <row r="3" spans="1:4" ht="15.5" customHeight="1" x14ac:dyDescent="0.35">
      <c r="A3" s="6" t="s">
        <v>66</v>
      </c>
      <c r="B3" s="7" t="s">
        <v>67</v>
      </c>
    </row>
    <row r="4" spans="1:4" ht="15.5" customHeight="1" x14ac:dyDescent="0.35">
      <c r="A4" s="7" t="s">
        <v>68</v>
      </c>
      <c r="B4" s="7" t="s">
        <v>69</v>
      </c>
    </row>
    <row r="5" spans="1:4" ht="15.5" customHeight="1" x14ac:dyDescent="0.35">
      <c r="A5" s="7" t="s">
        <v>70</v>
      </c>
      <c r="B5" s="7" t="s">
        <v>71</v>
      </c>
    </row>
    <row r="6" spans="1:4" ht="15.5" customHeight="1" x14ac:dyDescent="0.35">
      <c r="A6" s="7" t="s">
        <v>44</v>
      </c>
      <c r="B6" s="7" t="s">
        <v>72</v>
      </c>
    </row>
    <row r="7" spans="1:4" ht="15.5" customHeight="1" x14ac:dyDescent="0.35">
      <c r="A7" s="7" t="s">
        <v>38</v>
      </c>
      <c r="B7" s="7" t="s">
        <v>73</v>
      </c>
    </row>
    <row r="8" spans="1:4" ht="15.5" customHeight="1" x14ac:dyDescent="0.35">
      <c r="A8" s="7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START HERE</vt:lpstr>
      <vt:lpstr>Data</vt:lpstr>
      <vt:lpstr>Sheet2</vt:lpstr>
      <vt:lpstr>KCI</vt:lpstr>
      <vt:lpstr>Trends</vt:lpstr>
      <vt:lpstr>Types_of_Malaria_Data</vt:lpstr>
      <vt:lpstr>Vectors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Edmond SACLA AIDE</cp:lastModifiedBy>
  <dcterms:created xsi:type="dcterms:W3CDTF">2026-08-24T12:14:07Z</dcterms:created>
  <dcterms:modified xsi:type="dcterms:W3CDTF">2026-09-27T11:16:05Z</dcterms:modified>
</cp:coreProperties>
</file>